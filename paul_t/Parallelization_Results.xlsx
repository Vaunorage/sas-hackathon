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6b026434d82f3c/Code/Parallelization/"/>
    </mc:Choice>
  </mc:AlternateContent>
  <xr:revisionPtr revIDLastSave="204" documentId="8_{67FD3219-A6DF-4783-A9D3-9C724489EFCE}" xr6:coauthVersionLast="47" xr6:coauthVersionMax="47" xr10:uidLastSave="{12F5862F-D88C-411E-9A53-397CFD28DE51}"/>
  <bookViews>
    <workbookView xWindow="19095" yWindow="0" windowWidth="19410" windowHeight="20985" xr2:uid="{20261B0E-47B6-4CC8-8BF7-050158EFC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F17" i="1" s="1"/>
  <c r="F16" i="1"/>
  <c r="F14" i="1"/>
  <c r="C15" i="1"/>
  <c r="F15" i="1" s="1"/>
  <c r="F12" i="1"/>
  <c r="C13" i="1"/>
  <c r="F13" i="1" s="1"/>
  <c r="C11" i="1"/>
  <c r="F11" i="1" s="1"/>
  <c r="F10" i="1"/>
  <c r="F8" i="1"/>
  <c r="C9" i="1"/>
  <c r="F9" i="1" s="1"/>
  <c r="F6" i="1"/>
  <c r="C7" i="1"/>
  <c r="F7" i="1" s="1"/>
</calcChain>
</file>

<file path=xl/sharedStrings.xml><?xml version="1.0" encoding="utf-8"?>
<sst xmlns="http://schemas.openxmlformats.org/spreadsheetml/2006/main" count="30" uniqueCount="19">
  <si>
    <t>Loop</t>
  </si>
  <si>
    <t>Summary</t>
  </si>
  <si>
    <t>Total</t>
  </si>
  <si>
    <t>Output value</t>
  </si>
  <si>
    <t>Load</t>
  </si>
  <si>
    <t>3069774990.378296</t>
  </si>
  <si>
    <t>YEARS</t>
  </si>
  <si>
    <t>SCENS</t>
  </si>
  <si>
    <t>POLICIES</t>
  </si>
  <si>
    <t>CALCS</t>
  </si>
  <si>
    <t>1446877381.640971</t>
  </si>
  <si>
    <t>1446877381.6409707</t>
  </si>
  <si>
    <t>Type</t>
  </si>
  <si>
    <t>NP64 contigu</t>
  </si>
  <si>
    <t>CP64 contigu</t>
  </si>
  <si>
    <t>NP32 contigu</t>
  </si>
  <si>
    <t>CP32 contigu</t>
  </si>
  <si>
    <t>NP64 satelite</t>
  </si>
  <si>
    <t>CP64 satelite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</si>
</sst>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2" xfId="0" applyBorder="1"/>
    <xf numFmtId="17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/>
    <xf numFmtId="0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70" fontId="0" fillId="0" borderId="1" xfId="0" applyNumberFormat="1" applyBorder="1" applyAlignment="1">
      <alignment horizontal="center"/>
    </xf>
    <xf numFmtId="49" fontId="0" fillId="0" borderId="1" xfId="0" applyNumberFormat="1" applyBorder="1"/>
    <xf numFmtId="170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4C7C-FA8C-4C52-8EA2-7F0699200637}">
  <dimension ref="B5:K17"/>
  <sheetViews>
    <sheetView tabSelected="1" workbookViewId="0">
      <selection activeCell="G23" sqref="G23"/>
    </sheetView>
  </sheetViews>
  <sheetFormatPr defaultRowHeight="15" x14ac:dyDescent="0.25"/>
  <cols>
    <col min="2" max="2" width="17.28515625" customWidth="1"/>
    <col min="7" max="7" width="20.85546875" bestFit="1" customWidth="1"/>
  </cols>
  <sheetData>
    <row r="5" spans="2:11" ht="15.75" thickBot="1" x14ac:dyDescent="0.3">
      <c r="B5" s="3" t="s">
        <v>12</v>
      </c>
      <c r="C5" s="4" t="s">
        <v>4</v>
      </c>
      <c r="D5" s="4" t="s">
        <v>0</v>
      </c>
      <c r="E5" s="4" t="s">
        <v>1</v>
      </c>
      <c r="F5" s="4" t="s">
        <v>2</v>
      </c>
      <c r="G5" s="4" t="s">
        <v>3</v>
      </c>
      <c r="H5" s="7" t="s">
        <v>6</v>
      </c>
      <c r="I5" s="7" t="s">
        <v>7</v>
      </c>
      <c r="J5" s="7" t="s">
        <v>8</v>
      </c>
      <c r="K5" s="7" t="s">
        <v>9</v>
      </c>
    </row>
    <row r="6" spans="2:11" x14ac:dyDescent="0.25">
      <c r="B6" t="s">
        <v>13</v>
      </c>
      <c r="C6" s="1">
        <v>1.3</v>
      </c>
      <c r="D6" s="1">
        <v>3.2</v>
      </c>
      <c r="E6" s="1">
        <v>0.2</v>
      </c>
      <c r="F6" s="1">
        <f t="shared" ref="F6:F15" si="0">SUM(C6:E6)</f>
        <v>4.7</v>
      </c>
      <c r="G6" s="2" t="s">
        <v>5</v>
      </c>
      <c r="H6" s="1">
        <v>100</v>
      </c>
      <c r="I6" s="1">
        <v>500</v>
      </c>
      <c r="J6" s="1">
        <v>1000</v>
      </c>
      <c r="K6" s="1">
        <v>7</v>
      </c>
    </row>
    <row r="7" spans="2:11" x14ac:dyDescent="0.25">
      <c r="B7" s="8" t="s">
        <v>14</v>
      </c>
      <c r="C7" s="9">
        <f>3.9+C6</f>
        <v>5.2</v>
      </c>
      <c r="D7" s="10">
        <v>0.3</v>
      </c>
      <c r="E7" s="10">
        <v>0</v>
      </c>
      <c r="F7" s="10">
        <f t="shared" si="0"/>
        <v>5.5</v>
      </c>
      <c r="G7" s="11" t="s">
        <v>5</v>
      </c>
      <c r="H7" s="8"/>
      <c r="I7" s="8"/>
      <c r="J7" s="8"/>
      <c r="K7" s="8"/>
    </row>
    <row r="8" spans="2:11" x14ac:dyDescent="0.25">
      <c r="B8" t="s">
        <v>15</v>
      </c>
      <c r="C8" s="1">
        <v>0.9</v>
      </c>
      <c r="D8" s="1">
        <v>1.7</v>
      </c>
      <c r="E8" s="1">
        <v>0.1</v>
      </c>
      <c r="F8" s="1">
        <f t="shared" si="0"/>
        <v>2.7</v>
      </c>
      <c r="G8" s="5">
        <v>3069775000</v>
      </c>
    </row>
    <row r="9" spans="2:11" x14ac:dyDescent="0.25">
      <c r="B9" s="8" t="s">
        <v>16</v>
      </c>
      <c r="C9" s="9">
        <f>1.6+C8</f>
        <v>2.5</v>
      </c>
      <c r="D9" s="10">
        <v>0.3</v>
      </c>
      <c r="E9" s="10">
        <v>0.1</v>
      </c>
      <c r="F9" s="10">
        <f t="shared" si="0"/>
        <v>2.9</v>
      </c>
      <c r="G9" s="12">
        <v>3069774800</v>
      </c>
      <c r="H9" s="8"/>
      <c r="I9" s="8"/>
      <c r="J9" s="8"/>
      <c r="K9" s="8"/>
    </row>
    <row r="10" spans="2:11" x14ac:dyDescent="0.25">
      <c r="B10" t="s">
        <v>13</v>
      </c>
      <c r="C10" s="1">
        <v>1</v>
      </c>
      <c r="D10" s="1">
        <v>2.9</v>
      </c>
      <c r="E10" s="1">
        <v>0.1</v>
      </c>
      <c r="F10" s="1">
        <f t="shared" si="0"/>
        <v>4</v>
      </c>
      <c r="G10" s="2" t="s">
        <v>11</v>
      </c>
      <c r="H10" s="1">
        <v>100</v>
      </c>
      <c r="I10" s="1">
        <v>500</v>
      </c>
      <c r="J10" s="1">
        <v>500</v>
      </c>
      <c r="K10" s="1">
        <v>12</v>
      </c>
    </row>
    <row r="11" spans="2:11" x14ac:dyDescent="0.25">
      <c r="B11" s="8" t="s">
        <v>14</v>
      </c>
      <c r="C11" s="9">
        <f>2+C10</f>
        <v>3</v>
      </c>
      <c r="D11" s="10">
        <v>0.4</v>
      </c>
      <c r="E11" s="10">
        <v>0</v>
      </c>
      <c r="F11" s="10">
        <f t="shared" si="0"/>
        <v>3.4</v>
      </c>
      <c r="G11" s="11" t="s">
        <v>10</v>
      </c>
      <c r="H11" s="8"/>
      <c r="I11" s="8"/>
      <c r="J11" s="8"/>
      <c r="K11" s="8"/>
    </row>
    <row r="12" spans="2:11" x14ac:dyDescent="0.25">
      <c r="B12" t="s">
        <v>15</v>
      </c>
      <c r="C12" s="1">
        <v>0.5</v>
      </c>
      <c r="D12" s="1">
        <v>1.6</v>
      </c>
      <c r="E12" s="1">
        <v>0</v>
      </c>
      <c r="F12" s="1">
        <f t="shared" si="0"/>
        <v>2.1</v>
      </c>
      <c r="G12" s="6">
        <v>1446877400</v>
      </c>
    </row>
    <row r="13" spans="2:11" x14ac:dyDescent="0.25">
      <c r="B13" s="8" t="s">
        <v>16</v>
      </c>
      <c r="C13" s="10">
        <f>1+C12</f>
        <v>1.5</v>
      </c>
      <c r="D13" s="10">
        <v>0.5</v>
      </c>
      <c r="E13" s="10">
        <v>0</v>
      </c>
      <c r="F13" s="10">
        <f t="shared" si="0"/>
        <v>2</v>
      </c>
      <c r="G13" s="13">
        <v>1446877400</v>
      </c>
      <c r="H13" s="8"/>
      <c r="I13" s="8"/>
      <c r="J13" s="8"/>
      <c r="K13" s="8"/>
    </row>
    <row r="14" spans="2:11" x14ac:dyDescent="0.25">
      <c r="B14" t="s">
        <v>13</v>
      </c>
      <c r="C14" s="1">
        <v>1.2</v>
      </c>
      <c r="D14" s="1">
        <v>4.0999999999999996</v>
      </c>
      <c r="E14" s="1">
        <v>0.1</v>
      </c>
      <c r="F14" s="1">
        <f t="shared" si="0"/>
        <v>5.3999999999999995</v>
      </c>
      <c r="G14" s="2" t="s">
        <v>11</v>
      </c>
      <c r="H14" s="1">
        <v>100</v>
      </c>
      <c r="I14" s="1">
        <v>500</v>
      </c>
      <c r="J14" s="1">
        <v>500</v>
      </c>
      <c r="K14" s="1">
        <v>17</v>
      </c>
    </row>
    <row r="15" spans="2:11" x14ac:dyDescent="0.25">
      <c r="B15" s="8" t="s">
        <v>14</v>
      </c>
      <c r="C15" s="9">
        <f>3.2+C14</f>
        <v>4.4000000000000004</v>
      </c>
      <c r="D15" s="10">
        <v>0.5</v>
      </c>
      <c r="E15" s="10">
        <v>0</v>
      </c>
      <c r="F15" s="10">
        <f t="shared" si="0"/>
        <v>4.9000000000000004</v>
      </c>
      <c r="G15" s="11" t="s">
        <v>10</v>
      </c>
      <c r="H15" s="8"/>
      <c r="I15" s="8"/>
      <c r="J15" s="8"/>
      <c r="K15" s="8"/>
    </row>
    <row r="16" spans="2:11" x14ac:dyDescent="0.25">
      <c r="B16" t="s">
        <v>17</v>
      </c>
      <c r="C16" s="1">
        <v>0.3</v>
      </c>
      <c r="D16" s="1">
        <v>7.5</v>
      </c>
      <c r="E16" s="1">
        <v>0.4</v>
      </c>
      <c r="F16" s="1">
        <f t="shared" ref="F16:F17" si="1">SUM(C16:E16)</f>
        <v>8.1999999999999993</v>
      </c>
      <c r="G16" s="2" t="s">
        <v>11</v>
      </c>
    </row>
    <row r="17" spans="2:11" ht="15.75" thickBot="1" x14ac:dyDescent="0.3">
      <c r="B17" s="3" t="s">
        <v>18</v>
      </c>
      <c r="C17" s="14">
        <f>0.8+C16</f>
        <v>1.1000000000000001</v>
      </c>
      <c r="D17" s="4">
        <v>0.5</v>
      </c>
      <c r="E17" s="4">
        <v>0</v>
      </c>
      <c r="F17" s="16">
        <f t="shared" si="1"/>
        <v>1.6</v>
      </c>
      <c r="G17" s="15" t="s">
        <v>10</v>
      </c>
      <c r="H17" s="4"/>
      <c r="I17" s="4"/>
      <c r="J17" s="4"/>
      <c r="K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Neag</dc:creator>
  <cp:lastModifiedBy>Paul Neag</cp:lastModifiedBy>
  <dcterms:created xsi:type="dcterms:W3CDTF">2026-02-02T18:19:35Z</dcterms:created>
  <dcterms:modified xsi:type="dcterms:W3CDTF">2026-02-02T20:07:13Z</dcterms:modified>
</cp:coreProperties>
</file>